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秦兴国\Desktop\"/>
    </mc:Choice>
  </mc:AlternateContent>
  <xr:revisionPtr revIDLastSave="0" documentId="8_{C975635D-B2BC-4DF4-9B4A-65717D07F49D}" xr6:coauthVersionLast="47" xr6:coauthVersionMax="47" xr10:uidLastSave="{00000000-0000-0000-0000-000000000000}"/>
  <bookViews>
    <workbookView xWindow="-120" yWindow="-16320" windowWidth="29040" windowHeight="15720" xr2:uid="{00000000-000D-0000-FFFF-FFFF00000000}"/>
  </bookViews>
  <sheets>
    <sheet name="国轻" sheetId="39" r:id="rId1"/>
  </sheets>
  <definedNames>
    <definedName name="_xlnm.Print_Area" localSheetId="0">国轻!$A$1:$I$39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39" l="1"/>
  <c r="I17" i="39"/>
  <c r="I16" i="39"/>
  <c r="H14" i="39"/>
  <c r="H13" i="39"/>
  <c r="H12" i="39"/>
</calcChain>
</file>

<file path=xl/sharedStrings.xml><?xml version="1.0" encoding="utf-8"?>
<sst xmlns="http://schemas.openxmlformats.org/spreadsheetml/2006/main" count="59" uniqueCount="50">
  <si>
    <r>
      <rPr>
        <u/>
        <sz val="26"/>
        <color theme="1"/>
        <rFont val="华文行楷"/>
        <charset val="134"/>
      </rPr>
      <t xml:space="preserve">报  价  单  </t>
    </r>
    <r>
      <rPr>
        <u/>
        <sz val="26"/>
        <color theme="1"/>
        <rFont val="Times New Roman"/>
        <family val="1"/>
      </rPr>
      <t>(</t>
    </r>
    <r>
      <rPr>
        <u/>
        <sz val="22"/>
        <color theme="1"/>
        <rFont val="Times New Roman"/>
        <family val="1"/>
      </rPr>
      <t>Quotation</t>
    </r>
    <r>
      <rPr>
        <u/>
        <sz val="26"/>
        <color theme="1"/>
        <rFont val="Times New Roman"/>
        <family val="1"/>
      </rPr>
      <t>)</t>
    </r>
  </si>
  <si>
    <t>委托方Company：</t>
  </si>
  <si>
    <t>湖北航嘉麦格纳座椅系统有限公司天津分公司</t>
  </si>
  <si>
    <t>服务方Company：</t>
  </si>
  <si>
    <t>江苏国轻检测技术有限公司</t>
  </si>
  <si>
    <t>发件人From：</t>
  </si>
  <si>
    <t>包星海</t>
  </si>
  <si>
    <t>王璐</t>
  </si>
  <si>
    <t>电话Tel：</t>
  </si>
  <si>
    <t>邮箱Email：</t>
  </si>
  <si>
    <t>/</t>
  </si>
  <si>
    <t>wanglu@sae-china.org</t>
  </si>
  <si>
    <t>地址Adress：</t>
  </si>
  <si>
    <t>扬州市邗江区金山路99号</t>
  </si>
  <si>
    <t>客户要求备注：</t>
  </si>
  <si>
    <t>样品名称</t>
  </si>
  <si>
    <t>QSTE420TM T2 、QSTE500TM T2.5</t>
  </si>
  <si>
    <t>序号</t>
  </si>
  <si>
    <t>检测项目（Service Item）</t>
  </si>
  <si>
    <t>检测标准(Method Standard)</t>
  </si>
  <si>
    <t>数量（Quantity）</t>
  </si>
  <si>
    <t>单价(Price)</t>
  </si>
  <si>
    <t>总价
（Total Coat）</t>
  </si>
  <si>
    <t>备注</t>
  </si>
  <si>
    <t>ELV检测</t>
  </si>
  <si>
    <t>长城</t>
  </si>
  <si>
    <t>2种材料，金属4项</t>
  </si>
  <si>
    <t>化学元素</t>
  </si>
  <si>
    <t>QSTE420TM T2
6个元素</t>
  </si>
  <si>
    <t>QSTE500TM T2.5
5个元素</t>
  </si>
  <si>
    <t>抗拉强度、屈服强度、伸长率</t>
  </si>
  <si>
    <t>2组</t>
  </si>
  <si>
    <t>一组三根（含制样）</t>
  </si>
  <si>
    <t xml:space="preserve">以上测试费用为人民币含税报价 </t>
  </si>
  <si>
    <t>报价合计</t>
  </si>
  <si>
    <t>含税合计（含税 6%）</t>
  </si>
  <si>
    <t>优惠后合计（含税 6%）</t>
  </si>
  <si>
    <t>寄样信息(Sample Delivery Information)</t>
  </si>
  <si>
    <t>收款方信息（Payee Information）</t>
  </si>
  <si>
    <t xml:space="preserve">地 址：江苏省扬州市邗江区金山路号99号B座
电 话：17605280797
收件人：王 璐 </t>
  </si>
  <si>
    <t>户 名：江苏国轻检测技术有限公司
开户行：中国工商银行股份有限公司扬州开发支行
行 号: 102312002133
账号：1108021309100289674</t>
  </si>
  <si>
    <t xml:space="preserve">
★委托方签字（盖章）
                            日期: </t>
  </si>
  <si>
    <t xml:space="preserve">
★服务方签字（盖章）
                               日期: 2026.01.07</t>
  </si>
  <si>
    <t>★Additional Information 附加说明：
收到此报价单后，请按以下流程操作（Upon receiving this quotation, please proceed according to the following steps:）：</t>
  </si>
  <si>
    <t xml:space="preserve">1、此报价依据贵公司提供的资料而估算，有效期为一个月。若提供的资料有改动，此报价单将随之更新。如贵公司同意以上报价，请签名盖章后将此件回传本公司，以便执行订单。本报价单经双方签字确认并盖章后，等同双方的检测委托合同。非常感谢您的支持！This quotation is estimated based on the information provided by your company and is valid for one month. If the provided information is modified, this quotation will be updated accordingly. If your company agrees to the above terms, please sign, stamp, and return this document to our company for order execution. Once signed and stamped by both parties, this quotation will serve as the testing service agreement between both parties. Thank you for your support! </t>
  </si>
  <si>
    <t>2、请按要求仔细填写测试申请表并确认，内容可根据贵公司需要填写，测试及报告内容都将以贵司提供的资料进行。测试报告完成后，提供报告。若有任何修改，每份报告需支付 RMB100 元修改费； 
Please carefully fill out and confirm the testing application form as required. The content can be customized according to your company's needs, and the testing and report content will be based on the information provided by your company. After the test report is completed, it will be delivered to you. If any modifications are required, a fee of RMB 100 per report will be charged.</t>
  </si>
  <si>
    <t>3、付款条件： 客户方在检测方出具报告之日起 30 天内付款。如客户方未在上述期限内付款，逾期每天加收千分之一的滞纳金，直至客户方支付拖欠的所有款项。
Payment Terms: The client shall make payment within 30 days from the date the testing agency issues the report. If payment is not made within the specified period, a late fee of 0.1% per day will be charged until full payment is settled.</t>
  </si>
  <si>
    <t>4、本报价单所提供的服务应遵循中华人民共和国相关法律及我公司服务条款。 
Payment Terms: The client shall make payment within 30 days from the date the testing agency issues the report. If payment is not made within the specified period, a late fee of 0.1% per day will be charged until full payment is settled.</t>
  </si>
  <si>
    <t>5、双方均同意电子邮件、传真件、扫描件与原件具有同等法律效力； 
Both parties agree that emails, faxes, and scanned copies shall have the same legal effect as the original documents.</t>
  </si>
  <si>
    <t>6、如双方发生纠纷，应向客户方或检测方所在地法院提起诉讼。
Both parties agree that emails, faxes, and scanned copies shall have the same legal effect as the original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</si>
</sst>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宋体"/>
      <charset val="134"/>
      <scheme val="minor"/>
    </font>
    <font>
      <sz val="12"/>
      <color theme="1"/>
      <name val="宋体"/>
      <charset val="134"/>
      <scheme val="minor"/>
    </font>
    <font>
      <u/>
      <sz val="26"/>
      <color theme="1"/>
      <name val="华文行楷"/>
      <charset val="134"/>
    </font>
    <font>
      <sz val="11"/>
      <color theme="1"/>
      <name val="宋体"/>
      <charset val="134"/>
    </font>
    <font>
      <u/>
      <sz val="11"/>
      <color rgb="FF0000FF"/>
      <name val="宋体"/>
      <charset val="134"/>
      <scheme val="minor"/>
    </font>
    <font>
      <b/>
      <sz val="14"/>
      <color theme="1"/>
      <name val="宋体"/>
      <charset val="134"/>
    </font>
    <font>
      <sz val="12"/>
      <color theme="1"/>
      <name val="宋体"/>
      <charset val="134"/>
    </font>
    <font>
      <b/>
      <sz val="16"/>
      <color theme="1"/>
      <name val="宋体"/>
      <charset val="134"/>
    </font>
    <font>
      <sz val="11"/>
      <color rgb="FF000000"/>
      <name val="宋体"/>
      <charset val="134"/>
    </font>
    <font>
      <sz val="12"/>
      <name val="宋体"/>
      <charset val="134"/>
    </font>
    <font>
      <u/>
      <sz val="26"/>
      <color theme="1"/>
      <name val="Times New Roman"/>
      <family val="1"/>
    </font>
    <font>
      <u/>
      <sz val="22"/>
      <color theme="1"/>
      <name val="Times New Roman"/>
      <family val="1"/>
    </font>
    <font>
      <sz val="9"/>
      <name val="宋体"/>
      <charset val="134"/>
      <scheme val="minor"/>
    </font>
  </fonts>
  <fills count="2">
    <fill>
      <patternFill patternType="none"/>
    </fill>
    <fill>
      <patternFill patternType="gray125"/>
    </fill>
  </fills>
  <borders count="4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style="medium">
        <color auto="1"/>
      </left>
      <right/>
      <top/>
      <bottom/>
      <diagonal/>
    </border>
    <border>
      <left/>
      <right style="thin">
        <color auto="1"/>
      </right>
      <top/>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s>
  <cellStyleXfs count="4">
    <xf numFmtId="0" fontId="0" fillId="0" borderId="0">
      <alignment vertical="center"/>
    </xf>
    <xf numFmtId="0" fontId="4" fillId="0" borderId="0" applyNumberFormat="0" applyFill="0" applyBorder="0" applyAlignment="0" applyProtection="0">
      <alignment vertical="center"/>
    </xf>
    <xf numFmtId="0" fontId="9" fillId="0" borderId="0"/>
    <xf numFmtId="0" fontId="9" fillId="0" borderId="0"/>
  </cellStyleXfs>
  <cellXfs count="96">
    <xf numFmtId="0" fontId="0" fillId="0" borderId="0" xfId="0">
      <alignmen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2" fillId="0" borderId="0" xfId="0" applyFont="1" applyAlignment="1">
      <alignment horizontal="center" vertical="center" wrapText="1"/>
    </xf>
    <xf numFmtId="0" fontId="3" fillId="0" borderId="0" xfId="0" applyFont="1" applyAlignment="1">
      <alignment horizontal="center" vertical="center"/>
    </xf>
    <xf numFmtId="0" fontId="3" fillId="0" borderId="6" xfId="0" applyFont="1" applyBorder="1" applyAlignment="1">
      <alignment horizontal="center" vertical="center" wrapText="1"/>
    </xf>
    <xf numFmtId="0" fontId="1" fillId="0" borderId="0" xfId="0" applyFont="1">
      <alignment vertical="center"/>
    </xf>
    <xf numFmtId="0" fontId="3" fillId="0" borderId="0" xfId="0" applyFont="1" applyAlignment="1">
      <alignment horizontal="left" vertical="center" wrapText="1"/>
    </xf>
    <xf numFmtId="0" fontId="3" fillId="0" borderId="0" xfId="0" applyFont="1" applyAlignment="1">
      <alignment horizontal="center" vertical="center" wrapText="1"/>
    </xf>
    <xf numFmtId="0" fontId="0" fillId="0" borderId="5" xfId="0" applyBorder="1" applyAlignment="1">
      <alignment horizontal="center" vertical="center" wrapText="1"/>
    </xf>
    <xf numFmtId="0" fontId="3" fillId="0" borderId="16" xfId="0" applyFont="1" applyBorder="1" applyAlignment="1">
      <alignment horizontal="center" vertical="center" wrapText="1"/>
    </xf>
    <xf numFmtId="0" fontId="3" fillId="0" borderId="8" xfId="0" applyFont="1" applyBorder="1" applyAlignment="1">
      <alignment horizontal="center" vertical="center" wrapText="1"/>
    </xf>
    <xf numFmtId="0" fontId="6" fillId="0" borderId="8" xfId="0" applyFont="1" applyBorder="1" applyAlignment="1">
      <alignment horizontal="center" vertical="center" wrapText="1"/>
    </xf>
    <xf numFmtId="0" fontId="6" fillId="0" borderId="0" xfId="0" applyFont="1" applyAlignment="1">
      <alignment horizontal="center" vertical="center" wrapText="1"/>
    </xf>
    <xf numFmtId="0" fontId="6" fillId="0" borderId="12" xfId="0" applyFont="1" applyBorder="1" applyAlignment="1">
      <alignment horizontal="center" vertical="center" wrapText="1"/>
    </xf>
    <xf numFmtId="0" fontId="7" fillId="0" borderId="0" xfId="0" applyFont="1" applyAlignment="1">
      <alignment horizontal="left" vertical="center" wrapText="1"/>
    </xf>
    <xf numFmtId="0" fontId="3" fillId="0" borderId="0" xfId="0" applyFont="1" applyAlignment="1">
      <alignment vertical="top"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21" xfId="0" applyBorder="1" applyAlignment="1">
      <alignment horizontal="left" vertical="center" wrapText="1"/>
    </xf>
    <xf numFmtId="0" fontId="0" fillId="0" borderId="46" xfId="0" applyBorder="1" applyAlignment="1">
      <alignment horizontal="left" vertical="center" wrapText="1"/>
    </xf>
    <xf numFmtId="0" fontId="2" fillId="0" borderId="0" xfId="0" applyFont="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5" xfId="0" applyFont="1" applyBorder="1" applyAlignment="1">
      <alignment horizontal="center" vertical="center" wrapText="1"/>
    </xf>
    <xf numFmtId="0" fontId="4" fillId="0" borderId="7" xfId="1" applyBorder="1" applyAlignment="1">
      <alignment horizontal="center" vertical="center"/>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5" fillId="0" borderId="0" xfId="0" applyFont="1" applyAlignment="1">
      <alignment horizontal="left" vertical="center" wrapText="1"/>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14"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27" xfId="0" applyFont="1" applyBorder="1" applyAlignment="1">
      <alignment horizontal="center" vertical="center" wrapText="1"/>
    </xf>
    <xf numFmtId="0" fontId="7" fillId="0" borderId="0" xfId="0" applyFont="1" applyAlignment="1">
      <alignment horizontal="left" vertical="center" wrapText="1"/>
    </xf>
    <xf numFmtId="0" fontId="3" fillId="0" borderId="28"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3"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31" xfId="0" applyFont="1" applyBorder="1" applyAlignment="1">
      <alignment horizontal="center" vertical="center" wrapText="1"/>
    </xf>
    <xf numFmtId="0" fontId="3" fillId="0" borderId="32" xfId="0" applyFont="1" applyBorder="1" applyAlignment="1">
      <alignment horizontal="left" vertical="center" wrapText="1"/>
    </xf>
    <xf numFmtId="0" fontId="3" fillId="0" borderId="27" xfId="0" applyFont="1" applyBorder="1" applyAlignment="1">
      <alignment horizontal="left" vertical="center" wrapText="1"/>
    </xf>
    <xf numFmtId="0" fontId="3" fillId="0" borderId="11" xfId="0" applyFont="1" applyBorder="1" applyAlignment="1">
      <alignment horizontal="left" vertical="center" wrapText="1"/>
    </xf>
    <xf numFmtId="0" fontId="3" fillId="0" borderId="26" xfId="0" applyFont="1" applyBorder="1" applyAlignment="1">
      <alignment horizontal="left" vertical="center" wrapText="1"/>
    </xf>
    <xf numFmtId="0" fontId="3" fillId="0" borderId="33" xfId="0" applyFont="1" applyBorder="1" applyAlignment="1">
      <alignment horizontal="left" vertical="center" wrapText="1"/>
    </xf>
    <xf numFmtId="0" fontId="3" fillId="0" borderId="0" xfId="0" applyFont="1" applyAlignment="1">
      <alignment horizontal="center" vertical="center" wrapText="1"/>
    </xf>
    <xf numFmtId="0" fontId="0" fillId="0" borderId="43" xfId="0" applyBorder="1" applyAlignment="1">
      <alignment horizontal="left" vertical="center" wrapText="1"/>
    </xf>
    <xf numFmtId="0" fontId="0" fillId="0" borderId="44" xfId="0" applyBorder="1" applyAlignment="1">
      <alignment horizontal="left" vertical="center" wrapText="1"/>
    </xf>
    <xf numFmtId="0" fontId="0" fillId="0" borderId="45"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46" xfId="0"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46"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47" xfId="0" applyBorder="1" applyAlignment="1">
      <alignment horizontal="left" vertical="center" wrapText="1"/>
    </xf>
    <xf numFmtId="0" fontId="8" fillId="0" borderId="34" xfId="0" applyFont="1" applyBorder="1" applyAlignment="1">
      <alignment vertical="top" wrapText="1"/>
    </xf>
    <xf numFmtId="0" fontId="8" fillId="0" borderId="35" xfId="0" applyFont="1" applyBorder="1" applyAlignment="1">
      <alignment vertical="top"/>
    </xf>
    <xf numFmtId="0" fontId="8" fillId="0" borderId="37" xfId="0" applyFont="1" applyBorder="1" applyAlignment="1">
      <alignment vertical="top"/>
    </xf>
    <xf numFmtId="0" fontId="8" fillId="0" borderId="38" xfId="0" applyFont="1" applyBorder="1" applyAlignment="1">
      <alignment vertical="top"/>
    </xf>
    <xf numFmtId="0" fontId="8" fillId="0" borderId="40" xfId="0" applyFont="1" applyBorder="1" applyAlignment="1">
      <alignment vertical="top"/>
    </xf>
    <xf numFmtId="0" fontId="8" fillId="0" borderId="41" xfId="0" applyFont="1" applyBorder="1" applyAlignment="1">
      <alignment vertical="top"/>
    </xf>
    <xf numFmtId="0" fontId="3" fillId="0" borderId="35" xfId="0" applyFont="1" applyBorder="1" applyAlignment="1">
      <alignment vertical="top" wrapText="1"/>
    </xf>
    <xf numFmtId="0" fontId="3" fillId="0" borderId="36" xfId="0" applyFont="1" applyBorder="1" applyAlignment="1">
      <alignment vertical="top" wrapText="1"/>
    </xf>
    <xf numFmtId="0" fontId="3" fillId="0" borderId="38" xfId="0" applyFont="1" applyBorder="1" applyAlignment="1">
      <alignment vertical="top" wrapText="1"/>
    </xf>
    <xf numFmtId="0" fontId="3" fillId="0" borderId="39" xfId="0" applyFont="1" applyBorder="1" applyAlignment="1">
      <alignment vertical="top" wrapText="1"/>
    </xf>
    <xf numFmtId="0" fontId="3" fillId="0" borderId="41" xfId="0" applyFont="1" applyBorder="1" applyAlignment="1">
      <alignment vertical="top" wrapText="1"/>
    </xf>
    <xf numFmtId="0" fontId="3" fillId="0" borderId="42" xfId="0" applyFont="1" applyBorder="1" applyAlignment="1">
      <alignment vertical="top"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cellXfs>
  <cellStyles count="4">
    <cellStyle name="0,0_x000d__x000a_NA_x000d__x000a_" xfId="2" xr:uid="{00000000-0005-0000-0000-000031000000}"/>
    <cellStyle name="常规" xfId="0" builtinId="0"/>
    <cellStyle name="常规 2" xfId="3" xr:uid="{00000000-0005-0000-0000-000032000000}"/>
    <cellStyle name="超链接" xfId="1" builtinId="8"/>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520700</xdr:colOff>
      <xdr:row>0</xdr:row>
      <xdr:rowOff>635</xdr:rowOff>
    </xdr:from>
    <xdr:to>
      <xdr:col>3</xdr:col>
      <xdr:colOff>285115</xdr:colOff>
      <xdr:row>1</xdr:row>
      <xdr:rowOff>6350</xdr:rowOff>
    </xdr:to>
    <xdr:pic>
      <xdr:nvPicPr>
        <xdr:cNvPr id="2" name="图片 4" descr="徽标, 公司名称&#10;&#10;描述已自动生成">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1778000" y="635"/>
          <a:ext cx="602615" cy="653415"/>
        </a:xfrm>
        <a:prstGeom prst="rect">
          <a:avLst/>
        </a:prstGeom>
        <a:noFill/>
        <a:ln w="9525">
          <a:noFill/>
        </a:ln>
      </xdr:spPr>
    </xdr:pic>
    <xdr:clientData/>
  </xdr:twoCellAnchor>
  <xdr:twoCellAnchor editAs="oneCell">
    <xdr:from>
      <xdr:col>2</xdr:col>
      <xdr:colOff>520700</xdr:colOff>
      <xdr:row>0</xdr:row>
      <xdr:rowOff>635</xdr:rowOff>
    </xdr:from>
    <xdr:to>
      <xdr:col>3</xdr:col>
      <xdr:colOff>285115</xdr:colOff>
      <xdr:row>1</xdr:row>
      <xdr:rowOff>6350</xdr:rowOff>
    </xdr:to>
    <xdr:pic>
      <xdr:nvPicPr>
        <xdr:cNvPr id="3" name="图片 4" descr="徽标, 公司名称&#10;&#10;描述已自动生成">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1778000" y="635"/>
          <a:ext cx="602615" cy="653415"/>
        </a:xfrm>
        <a:prstGeom prst="rect">
          <a:avLst/>
        </a:prstGeom>
        <a:noFill/>
        <a:ln w="9525">
          <a:noFill/>
        </a:ln>
      </xdr:spPr>
    </xdr:pic>
    <xdr:clientData/>
  </xdr:twoCellAnchor>
  <xdr:twoCellAnchor editAs="oneCell">
    <xdr:from>
      <xdr:col>6</xdr:col>
      <xdr:colOff>60960</xdr:colOff>
      <xdr:row>16</xdr:row>
      <xdr:rowOff>3175</xdr:rowOff>
    </xdr:from>
    <xdr:to>
      <xdr:col>8</xdr:col>
      <xdr:colOff>914400</xdr:colOff>
      <xdr:row>28</xdr:row>
      <xdr:rowOff>245110</xdr:rowOff>
    </xdr:to>
    <xdr:pic>
      <xdr:nvPicPr>
        <xdr:cNvPr id="4" name="图片 3" descr="国轻报价章">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rot="1080000">
          <a:off x="4382770" y="6365875"/>
          <a:ext cx="2827020" cy="516953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wanglu@sae-chin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44"/>
  <sheetViews>
    <sheetView tabSelected="1" workbookViewId="0">
      <selection sqref="A1:I39"/>
    </sheetView>
  </sheetViews>
  <sheetFormatPr defaultColWidth="9" defaultRowHeight="14" x14ac:dyDescent="0.25"/>
  <cols>
    <col min="1" max="1" width="6" style="2" customWidth="1"/>
    <col min="2" max="3" width="12" style="3" customWidth="1"/>
    <col min="4" max="5" width="9" style="3" customWidth="1"/>
    <col min="6" max="6" width="13.90625" style="3" customWidth="1"/>
    <col min="7" max="7" width="13.7265625" style="3" customWidth="1"/>
    <col min="8" max="8" width="14.453125" customWidth="1"/>
    <col min="9" max="9" width="19.7265625" customWidth="1"/>
    <col min="10" max="10" width="4.453125" customWidth="1"/>
    <col min="11" max="11" width="18.36328125" customWidth="1"/>
    <col min="12" max="14" width="6.90625" customWidth="1"/>
    <col min="15" max="15" width="8.6328125" customWidth="1"/>
    <col min="16" max="16" width="8" customWidth="1"/>
  </cols>
  <sheetData>
    <row r="1" spans="1:10" ht="51" customHeight="1" x14ac:dyDescent="0.25">
      <c r="A1" s="22" t="s">
        <v>0</v>
      </c>
      <c r="B1" s="22"/>
      <c r="C1" s="22"/>
      <c r="D1" s="22"/>
      <c r="E1" s="22"/>
      <c r="F1" s="22"/>
      <c r="G1" s="22"/>
      <c r="H1" s="22"/>
      <c r="I1" s="22"/>
      <c r="J1" s="4"/>
    </row>
    <row r="2" spans="1:10" ht="34" customHeight="1" x14ac:dyDescent="0.25">
      <c r="A2" s="23" t="s">
        <v>1</v>
      </c>
      <c r="B2" s="24"/>
      <c r="C2" s="25" t="s">
        <v>2</v>
      </c>
      <c r="D2" s="25"/>
      <c r="E2" s="25"/>
      <c r="F2" s="24" t="s">
        <v>3</v>
      </c>
      <c r="G2" s="24"/>
      <c r="H2" s="26" t="s">
        <v>4</v>
      </c>
      <c r="I2" s="27"/>
      <c r="J2" s="5"/>
    </row>
    <row r="3" spans="1:10" ht="26" customHeight="1" x14ac:dyDescent="0.25">
      <c r="A3" s="28" t="s">
        <v>5</v>
      </c>
      <c r="B3" s="29"/>
      <c r="C3" s="30" t="s">
        <v>6</v>
      </c>
      <c r="D3" s="30"/>
      <c r="E3" s="30"/>
      <c r="F3" s="29" t="s">
        <v>5</v>
      </c>
      <c r="G3" s="29"/>
      <c r="H3" s="31" t="s">
        <v>7</v>
      </c>
      <c r="I3" s="32"/>
      <c r="J3" s="5"/>
    </row>
    <row r="4" spans="1:10" s="1" customFormat="1" ht="26" customHeight="1" x14ac:dyDescent="0.25">
      <c r="A4" s="33" t="s">
        <v>8</v>
      </c>
      <c r="B4" s="30"/>
      <c r="C4" s="30">
        <v>15872307851</v>
      </c>
      <c r="D4" s="30"/>
      <c r="E4" s="30"/>
      <c r="F4" s="30" t="s">
        <v>8</v>
      </c>
      <c r="G4" s="30"/>
      <c r="H4" s="31">
        <v>17605280797</v>
      </c>
      <c r="I4" s="32"/>
      <c r="J4" s="5"/>
    </row>
    <row r="5" spans="1:10" s="1" customFormat="1" ht="26" customHeight="1" x14ac:dyDescent="0.25">
      <c r="A5" s="33" t="s">
        <v>9</v>
      </c>
      <c r="B5" s="30"/>
      <c r="C5" s="30" t="s">
        <v>10</v>
      </c>
      <c r="D5" s="30"/>
      <c r="E5" s="30"/>
      <c r="F5" s="30" t="s">
        <v>9</v>
      </c>
      <c r="G5" s="30"/>
      <c r="H5" s="34" t="s">
        <v>11</v>
      </c>
      <c r="I5" s="32"/>
      <c r="J5" s="5"/>
    </row>
    <row r="6" spans="1:10" s="1" customFormat="1" ht="26" customHeight="1" x14ac:dyDescent="0.25">
      <c r="A6" s="35" t="s">
        <v>12</v>
      </c>
      <c r="B6" s="36"/>
      <c r="C6" s="36" t="s">
        <v>10</v>
      </c>
      <c r="D6" s="36"/>
      <c r="E6" s="36"/>
      <c r="F6" s="36" t="s">
        <v>12</v>
      </c>
      <c r="G6" s="36"/>
      <c r="H6" s="37" t="s">
        <v>13</v>
      </c>
      <c r="I6" s="38"/>
      <c r="J6" s="5"/>
    </row>
    <row r="7" spans="1:10" s="1" customFormat="1" ht="8" customHeight="1" x14ac:dyDescent="0.25">
      <c r="A7" s="39"/>
      <c r="B7" s="39"/>
      <c r="C7" s="39"/>
      <c r="D7" s="39"/>
      <c r="E7" s="39"/>
      <c r="F7" s="39"/>
      <c r="G7" s="39"/>
      <c r="H7" s="39"/>
      <c r="I7" s="7"/>
      <c r="J7" s="7"/>
    </row>
    <row r="8" spans="1:10" s="1" customFormat="1" ht="32" customHeight="1" x14ac:dyDescent="0.25">
      <c r="A8" s="40" t="s">
        <v>14</v>
      </c>
      <c r="B8" s="41"/>
      <c r="C8" s="41"/>
      <c r="D8" s="41"/>
      <c r="E8" s="41"/>
      <c r="F8" s="41"/>
      <c r="G8" s="41"/>
      <c r="H8" s="41"/>
      <c r="I8" s="42"/>
      <c r="J8" s="8"/>
    </row>
    <row r="9" spans="1:10" s="1" customFormat="1" ht="8" customHeight="1" x14ac:dyDescent="0.25">
      <c r="A9" s="43"/>
      <c r="B9" s="43"/>
      <c r="C9" s="43"/>
      <c r="D9" s="43"/>
      <c r="E9" s="43"/>
      <c r="F9" s="43"/>
      <c r="G9" s="43"/>
      <c r="H9" s="43"/>
      <c r="I9" s="43"/>
      <c r="J9" s="9"/>
    </row>
    <row r="10" spans="1:10" s="1" customFormat="1" ht="28" customHeight="1" x14ac:dyDescent="0.25">
      <c r="A10" s="30" t="s">
        <v>15</v>
      </c>
      <c r="B10" s="30"/>
      <c r="C10" s="30"/>
      <c r="D10" s="30" t="s">
        <v>16</v>
      </c>
      <c r="E10" s="30"/>
      <c r="F10" s="30"/>
      <c r="G10" s="30"/>
      <c r="H10" s="30"/>
      <c r="I10" s="30"/>
      <c r="J10" s="9"/>
    </row>
    <row r="11" spans="1:10" s="1" customFormat="1" ht="42" customHeight="1" x14ac:dyDescent="0.25">
      <c r="A11" s="10" t="s">
        <v>17</v>
      </c>
      <c r="B11" s="44" t="s">
        <v>18</v>
      </c>
      <c r="C11" s="45"/>
      <c r="D11" s="30" t="s">
        <v>19</v>
      </c>
      <c r="E11" s="30"/>
      <c r="F11" s="6" t="s">
        <v>20</v>
      </c>
      <c r="G11" s="6" t="s">
        <v>21</v>
      </c>
      <c r="H11" s="6" t="s">
        <v>22</v>
      </c>
      <c r="I11" s="12" t="s">
        <v>23</v>
      </c>
      <c r="J11" s="9"/>
    </row>
    <row r="12" spans="1:10" s="1" customFormat="1" ht="42" customHeight="1" x14ac:dyDescent="0.25">
      <c r="A12" s="10">
        <v>1</v>
      </c>
      <c r="B12" s="30" t="s">
        <v>24</v>
      </c>
      <c r="C12" s="30"/>
      <c r="D12" s="30" t="s">
        <v>25</v>
      </c>
      <c r="E12" s="30"/>
      <c r="F12" s="11">
        <v>2</v>
      </c>
      <c r="G12" s="11">
        <v>150</v>
      </c>
      <c r="H12" s="6">
        <f>G12*F12</f>
        <v>300</v>
      </c>
      <c r="I12" s="12" t="s">
        <v>26</v>
      </c>
      <c r="J12" s="9"/>
    </row>
    <row r="13" spans="1:10" s="1" customFormat="1" ht="42" customHeight="1" x14ac:dyDescent="0.25">
      <c r="A13" s="10">
        <v>2</v>
      </c>
      <c r="B13" s="30" t="s">
        <v>27</v>
      </c>
      <c r="C13" s="30"/>
      <c r="D13" s="30" t="s">
        <v>25</v>
      </c>
      <c r="E13" s="30"/>
      <c r="F13" s="11">
        <v>1</v>
      </c>
      <c r="G13" s="11">
        <v>600</v>
      </c>
      <c r="H13" s="6">
        <f>G13*F13</f>
        <v>600</v>
      </c>
      <c r="I13" s="12" t="s">
        <v>28</v>
      </c>
      <c r="J13" s="9"/>
    </row>
    <row r="14" spans="1:10" s="1" customFormat="1" ht="42" customHeight="1" x14ac:dyDescent="0.25">
      <c r="A14" s="10">
        <v>3</v>
      </c>
      <c r="B14" s="30" t="s">
        <v>27</v>
      </c>
      <c r="C14" s="30"/>
      <c r="D14" s="30" t="s">
        <v>25</v>
      </c>
      <c r="E14" s="30"/>
      <c r="F14" s="11">
        <v>1</v>
      </c>
      <c r="G14" s="11">
        <v>500</v>
      </c>
      <c r="H14" s="6">
        <f>G14*F14</f>
        <v>500</v>
      </c>
      <c r="I14" s="12" t="s">
        <v>29</v>
      </c>
      <c r="J14" s="9"/>
    </row>
    <row r="15" spans="1:10" s="1" customFormat="1" ht="42" customHeight="1" x14ac:dyDescent="0.25">
      <c r="A15" s="10">
        <v>4</v>
      </c>
      <c r="B15" s="30" t="s">
        <v>30</v>
      </c>
      <c r="C15" s="30"/>
      <c r="D15" s="30" t="s">
        <v>25</v>
      </c>
      <c r="E15" s="30"/>
      <c r="F15" s="11" t="s">
        <v>31</v>
      </c>
      <c r="G15" s="11">
        <v>500</v>
      </c>
      <c r="H15" s="6">
        <v>1000</v>
      </c>
      <c r="I15" s="12" t="s">
        <v>32</v>
      </c>
      <c r="J15" s="9"/>
    </row>
    <row r="16" spans="1:10" s="1" customFormat="1" ht="26" customHeight="1" x14ac:dyDescent="0.25">
      <c r="A16" s="88" t="s">
        <v>33</v>
      </c>
      <c r="B16" s="89"/>
      <c r="C16" s="89"/>
      <c r="D16" s="89"/>
      <c r="E16" s="90"/>
      <c r="F16" s="44" t="s">
        <v>34</v>
      </c>
      <c r="G16" s="46"/>
      <c r="H16" s="46"/>
      <c r="I16" s="12">
        <f>SUM(H12:H15)</f>
        <v>2400</v>
      </c>
      <c r="J16" s="9"/>
    </row>
    <row r="17" spans="1:10" s="1" customFormat="1" ht="26" customHeight="1" x14ac:dyDescent="0.25">
      <c r="A17" s="91"/>
      <c r="B17" s="60"/>
      <c r="C17" s="60"/>
      <c r="D17" s="60"/>
      <c r="E17" s="92"/>
      <c r="F17" s="44" t="s">
        <v>35</v>
      </c>
      <c r="G17" s="46"/>
      <c r="H17" s="46"/>
      <c r="I17" s="13">
        <f>I16*1.06</f>
        <v>2544</v>
      </c>
      <c r="J17" s="14"/>
    </row>
    <row r="18" spans="1:10" s="1" customFormat="1" ht="26" customHeight="1" x14ac:dyDescent="0.25">
      <c r="A18" s="93"/>
      <c r="B18" s="94"/>
      <c r="C18" s="94"/>
      <c r="D18" s="94"/>
      <c r="E18" s="95"/>
      <c r="F18" s="47" t="s">
        <v>36</v>
      </c>
      <c r="G18" s="48"/>
      <c r="H18" s="48"/>
      <c r="I18" s="15">
        <f>I16</f>
        <v>2400</v>
      </c>
      <c r="J18" s="14"/>
    </row>
    <row r="19" spans="1:10" s="1" customFormat="1" ht="8" customHeight="1" x14ac:dyDescent="0.25">
      <c r="A19" s="49"/>
      <c r="B19" s="49"/>
      <c r="C19" s="49"/>
      <c r="D19" s="49"/>
      <c r="E19" s="49"/>
      <c r="F19" s="49"/>
      <c r="G19" s="49"/>
      <c r="H19" s="49"/>
      <c r="I19" s="49"/>
      <c r="J19" s="16"/>
    </row>
    <row r="20" spans="1:10" s="1" customFormat="1" ht="27" customHeight="1" x14ac:dyDescent="0.25">
      <c r="A20" s="50" t="s">
        <v>37</v>
      </c>
      <c r="B20" s="51"/>
      <c r="C20" s="51"/>
      <c r="D20" s="51"/>
      <c r="E20" s="52"/>
      <c r="F20" s="53" t="s">
        <v>38</v>
      </c>
      <c r="G20" s="51"/>
      <c r="H20" s="51"/>
      <c r="I20" s="54"/>
      <c r="J20" s="9"/>
    </row>
    <row r="21" spans="1:10" s="1" customFormat="1" ht="75" customHeight="1" x14ac:dyDescent="0.25">
      <c r="A21" s="55" t="s">
        <v>39</v>
      </c>
      <c r="B21" s="56"/>
      <c r="C21" s="56"/>
      <c r="D21" s="56"/>
      <c r="E21" s="57"/>
      <c r="F21" s="58" t="s">
        <v>40</v>
      </c>
      <c r="G21" s="56"/>
      <c r="H21" s="56"/>
      <c r="I21" s="59"/>
      <c r="J21" s="8"/>
    </row>
    <row r="22" spans="1:10" s="1" customFormat="1" ht="8" customHeight="1" x14ac:dyDescent="0.25">
      <c r="A22" s="60"/>
      <c r="B22" s="60"/>
      <c r="C22" s="60"/>
      <c r="D22" s="60"/>
      <c r="E22" s="60"/>
      <c r="F22" s="60"/>
      <c r="G22" s="60"/>
      <c r="H22" s="60"/>
      <c r="I22" s="60"/>
      <c r="J22" s="9"/>
    </row>
    <row r="23" spans="1:10" s="1" customFormat="1" ht="55" customHeight="1" x14ac:dyDescent="0.25">
      <c r="A23" s="76" t="s">
        <v>41</v>
      </c>
      <c r="B23" s="77"/>
      <c r="C23" s="77"/>
      <c r="D23" s="77"/>
      <c r="E23" s="77"/>
      <c r="F23" s="82" t="s">
        <v>42</v>
      </c>
      <c r="G23" s="82"/>
      <c r="H23" s="82"/>
      <c r="I23" s="83"/>
      <c r="J23" s="17"/>
    </row>
    <row r="24" spans="1:10" s="1" customFormat="1" ht="67" customHeight="1" x14ac:dyDescent="0.25">
      <c r="A24" s="78"/>
      <c r="B24" s="79"/>
      <c r="C24" s="79"/>
      <c r="D24" s="79"/>
      <c r="E24" s="79"/>
      <c r="F24" s="84"/>
      <c r="G24" s="84"/>
      <c r="H24" s="84"/>
      <c r="I24" s="85"/>
      <c r="J24" s="17"/>
    </row>
    <row r="25" spans="1:10" s="1" customFormat="1" ht="30" customHeight="1" x14ac:dyDescent="0.25">
      <c r="A25" s="80"/>
      <c r="B25" s="81"/>
      <c r="C25" s="81"/>
      <c r="D25" s="81"/>
      <c r="E25" s="81"/>
      <c r="F25" s="86"/>
      <c r="G25" s="86"/>
      <c r="H25" s="86"/>
      <c r="I25" s="87"/>
      <c r="J25" s="17"/>
    </row>
    <row r="26" spans="1:10" ht="8" customHeight="1" x14ac:dyDescent="0.25"/>
    <row r="27" spans="1:10" ht="50" customHeight="1" x14ac:dyDescent="0.25">
      <c r="A27" s="61" t="s">
        <v>43</v>
      </c>
      <c r="B27" s="62"/>
      <c r="C27" s="62"/>
      <c r="D27" s="62"/>
      <c r="E27" s="62"/>
      <c r="F27" s="62"/>
      <c r="G27" s="62"/>
      <c r="H27" s="62"/>
      <c r="I27" s="63"/>
      <c r="J27" s="18"/>
    </row>
    <row r="28" spans="1:10" ht="8" customHeight="1" x14ac:dyDescent="0.25">
      <c r="A28" s="18"/>
      <c r="B28" s="18"/>
      <c r="C28" s="18"/>
      <c r="D28" s="18"/>
      <c r="E28" s="18"/>
      <c r="F28" s="18"/>
      <c r="G28" s="18"/>
      <c r="H28" s="18"/>
      <c r="I28" s="18"/>
      <c r="J28" s="18"/>
    </row>
    <row r="29" spans="1:10" ht="98" customHeight="1" x14ac:dyDescent="0.25">
      <c r="A29" s="64" t="s">
        <v>44</v>
      </c>
      <c r="B29" s="65"/>
      <c r="C29" s="65"/>
      <c r="D29" s="65"/>
      <c r="E29" s="65"/>
      <c r="F29" s="65"/>
      <c r="G29" s="65"/>
      <c r="H29" s="65"/>
      <c r="I29" s="66"/>
      <c r="J29" s="18"/>
    </row>
    <row r="30" spans="1:10" ht="8" customHeight="1" x14ac:dyDescent="0.25">
      <c r="A30" s="67"/>
      <c r="B30" s="68"/>
      <c r="C30" s="68"/>
      <c r="D30" s="68"/>
      <c r="E30" s="68"/>
      <c r="F30" s="68"/>
      <c r="G30" s="68"/>
      <c r="H30" s="68"/>
      <c r="I30" s="69"/>
      <c r="J30" s="19"/>
    </row>
    <row r="31" spans="1:10" ht="93" customHeight="1" x14ac:dyDescent="0.25">
      <c r="A31" s="70" t="s">
        <v>45</v>
      </c>
      <c r="B31" s="71"/>
      <c r="C31" s="71"/>
      <c r="D31" s="71"/>
      <c r="E31" s="71"/>
      <c r="F31" s="71"/>
      <c r="G31" s="71"/>
      <c r="H31" s="71"/>
      <c r="I31" s="72"/>
      <c r="J31" s="18"/>
    </row>
    <row r="32" spans="1:10" ht="8" customHeight="1" x14ac:dyDescent="0.25">
      <c r="A32" s="20"/>
      <c r="B32" s="18"/>
      <c r="C32" s="18"/>
      <c r="D32" s="18"/>
      <c r="E32" s="18"/>
      <c r="F32" s="18"/>
      <c r="G32" s="18"/>
      <c r="H32" s="18"/>
      <c r="I32" s="21"/>
      <c r="J32" s="18"/>
    </row>
    <row r="33" spans="1:10" ht="69" customHeight="1" x14ac:dyDescent="0.25">
      <c r="A33" s="70" t="s">
        <v>46</v>
      </c>
      <c r="B33" s="71"/>
      <c r="C33" s="71"/>
      <c r="D33" s="71"/>
      <c r="E33" s="71"/>
      <c r="F33" s="71"/>
      <c r="G33" s="71"/>
      <c r="H33" s="71"/>
      <c r="I33" s="72"/>
      <c r="J33" s="18"/>
    </row>
    <row r="34" spans="1:10" ht="8" customHeight="1" x14ac:dyDescent="0.25">
      <c r="A34" s="20"/>
      <c r="B34" s="18"/>
      <c r="C34" s="18"/>
      <c r="D34" s="18"/>
      <c r="E34" s="18"/>
      <c r="F34" s="18"/>
      <c r="G34" s="18"/>
      <c r="H34" s="18"/>
      <c r="I34" s="21"/>
      <c r="J34" s="18"/>
    </row>
    <row r="35" spans="1:10" ht="66" customHeight="1" x14ac:dyDescent="0.25">
      <c r="A35" s="70" t="s">
        <v>47</v>
      </c>
      <c r="B35" s="71"/>
      <c r="C35" s="71"/>
      <c r="D35" s="71"/>
      <c r="E35" s="71"/>
      <c r="F35" s="71"/>
      <c r="G35" s="71"/>
      <c r="H35" s="71"/>
      <c r="I35" s="72"/>
      <c r="J35" s="18"/>
    </row>
    <row r="36" spans="1:10" ht="8" customHeight="1" x14ac:dyDescent="0.25">
      <c r="A36" s="20"/>
      <c r="B36" s="18"/>
      <c r="C36" s="18"/>
      <c r="D36" s="18"/>
      <c r="E36" s="18"/>
      <c r="F36" s="18"/>
      <c r="G36" s="18"/>
      <c r="H36" s="18"/>
      <c r="I36" s="21"/>
      <c r="J36" s="18"/>
    </row>
    <row r="37" spans="1:10" ht="50" customHeight="1" x14ac:dyDescent="0.25">
      <c r="A37" s="70" t="s">
        <v>48</v>
      </c>
      <c r="B37" s="71"/>
      <c r="C37" s="71"/>
      <c r="D37" s="71"/>
      <c r="E37" s="71"/>
      <c r="F37" s="71"/>
      <c r="G37" s="71"/>
      <c r="H37" s="71"/>
      <c r="I37" s="72"/>
      <c r="J37" s="18"/>
    </row>
    <row r="38" spans="1:10" ht="8" customHeight="1" x14ac:dyDescent="0.25">
      <c r="A38" s="20"/>
      <c r="B38" s="18"/>
      <c r="C38" s="18"/>
      <c r="D38" s="18"/>
      <c r="E38" s="18"/>
      <c r="F38" s="18"/>
      <c r="G38" s="18"/>
      <c r="H38" s="18"/>
      <c r="I38" s="21"/>
      <c r="J38" s="18"/>
    </row>
    <row r="39" spans="1:10" ht="45" customHeight="1" x14ac:dyDescent="0.25">
      <c r="A39" s="73" t="s">
        <v>49</v>
      </c>
      <c r="B39" s="74"/>
      <c r="C39" s="74"/>
      <c r="D39" s="74"/>
      <c r="E39" s="74"/>
      <c r="F39" s="74"/>
      <c r="G39" s="74"/>
      <c r="H39" s="74"/>
      <c r="I39" s="75"/>
      <c r="J39" s="18"/>
    </row>
    <row r="40" spans="1:10" x14ac:dyDescent="0.25">
      <c r="A40" s="18"/>
      <c r="B40" s="18"/>
      <c r="C40" s="18"/>
      <c r="D40" s="18"/>
      <c r="E40" s="18"/>
      <c r="F40" s="18"/>
      <c r="G40" s="18"/>
      <c r="H40" s="18"/>
      <c r="I40" s="18"/>
      <c r="J40" s="18"/>
    </row>
    <row r="41" spans="1:10" x14ac:dyDescent="0.25">
      <c r="A41" s="18"/>
      <c r="B41" s="18"/>
      <c r="C41" s="18"/>
      <c r="D41" s="18"/>
      <c r="E41" s="18"/>
      <c r="F41" s="18"/>
      <c r="G41" s="18"/>
      <c r="H41" s="18"/>
      <c r="I41" s="18"/>
      <c r="J41" s="18"/>
    </row>
    <row r="42" spans="1:10" x14ac:dyDescent="0.25">
      <c r="A42" s="18"/>
      <c r="B42" s="18"/>
      <c r="C42" s="18"/>
      <c r="D42" s="18"/>
      <c r="E42" s="18"/>
      <c r="F42" s="18"/>
      <c r="G42" s="18"/>
      <c r="H42" s="18"/>
      <c r="I42" s="18"/>
      <c r="J42" s="18"/>
    </row>
    <row r="43" spans="1:10" x14ac:dyDescent="0.25">
      <c r="A43" s="18"/>
      <c r="B43" s="18"/>
      <c r="C43" s="18"/>
      <c r="D43" s="18"/>
      <c r="E43" s="18"/>
      <c r="F43" s="18"/>
      <c r="G43" s="18"/>
      <c r="H43" s="18"/>
      <c r="I43" s="18"/>
      <c r="J43" s="18"/>
    </row>
    <row r="44" spans="1:10" x14ac:dyDescent="0.25">
      <c r="A44" s="18"/>
      <c r="B44" s="18"/>
      <c r="C44" s="18"/>
      <c r="D44" s="18"/>
      <c r="E44" s="18"/>
      <c r="F44" s="18"/>
      <c r="G44" s="18"/>
      <c r="H44" s="18"/>
      <c r="I44" s="18"/>
      <c r="J44" s="18"/>
    </row>
  </sheetData>
  <mergeCells count="56">
    <mergeCell ref="A39:I39"/>
    <mergeCell ref="A23:E25"/>
    <mergeCell ref="F23:I25"/>
    <mergeCell ref="A16:E18"/>
    <mergeCell ref="A30:I30"/>
    <mergeCell ref="A31:I31"/>
    <mergeCell ref="A33:I33"/>
    <mergeCell ref="A35:I35"/>
    <mergeCell ref="A37:I37"/>
    <mergeCell ref="A21:E21"/>
    <mergeCell ref="F21:I21"/>
    <mergeCell ref="A22:I22"/>
    <mergeCell ref="A27:I27"/>
    <mergeCell ref="A29:I29"/>
    <mergeCell ref="F17:H17"/>
    <mergeCell ref="F18:H18"/>
    <mergeCell ref="A19:I19"/>
    <mergeCell ref="A20:E20"/>
    <mergeCell ref="F20:I20"/>
    <mergeCell ref="B14:C14"/>
    <mergeCell ref="D14:E14"/>
    <mergeCell ref="B15:C15"/>
    <mergeCell ref="D15:E15"/>
    <mergeCell ref="F16:H16"/>
    <mergeCell ref="B11:C11"/>
    <mergeCell ref="D11:E11"/>
    <mergeCell ref="B12:C12"/>
    <mergeCell ref="D12:E12"/>
    <mergeCell ref="B13:C13"/>
    <mergeCell ref="D13:E13"/>
    <mergeCell ref="A7:H7"/>
    <mergeCell ref="A8:I8"/>
    <mergeCell ref="A9:I9"/>
    <mergeCell ref="A10:C10"/>
    <mergeCell ref="D10:I10"/>
    <mergeCell ref="A5:B5"/>
    <mergeCell ref="C5:E5"/>
    <mergeCell ref="F5:G5"/>
    <mergeCell ref="H5:I5"/>
    <mergeCell ref="A6:B6"/>
    <mergeCell ref="C6:E6"/>
    <mergeCell ref="F6:G6"/>
    <mergeCell ref="H6:I6"/>
    <mergeCell ref="A3:B3"/>
    <mergeCell ref="C3:E3"/>
    <mergeCell ref="F3:G3"/>
    <mergeCell ref="H3:I3"/>
    <mergeCell ref="A4:B4"/>
    <mergeCell ref="C4:E4"/>
    <mergeCell ref="F4:G4"/>
    <mergeCell ref="H4:I4"/>
    <mergeCell ref="A1:I1"/>
    <mergeCell ref="A2:B2"/>
    <mergeCell ref="C2:E2"/>
    <mergeCell ref="F2:G2"/>
    <mergeCell ref="H2:I2"/>
  </mergeCells>
  <phoneticPr fontId="12" type="noConversion"/>
  <hyperlinks>
    <hyperlink ref="H5" r:id="rId1" tooltip="mailto:wanglu@sae-china.org" xr:uid="{00000000-0004-0000-0000-000000000000}"/>
  </hyperlinks>
  <pageMargins left="0.75138888888888899" right="0.75138888888888899" top="0.80277777777777803" bottom="0.80277777777777803" header="0.5" footer="0.5"/>
  <pageSetup paperSize="9" scale="80" fitToHeight="0" orientation="portrait"/>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国轻</vt:lpstr>
      <vt:lpstr>国轻!Print_Area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兴国 秦</cp:lastModifiedBy>
  <cp:lastPrinted>2023-11-06T05:14:00Z</cp:lastPrinted>
  <dcterms:created xsi:type="dcterms:W3CDTF">2019-05-22T08:14:00Z</dcterms:created>
  <dcterms:modified xsi:type="dcterms:W3CDTF">2026-01-07T08:06:34Z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52273A0CA81B4608A30CC6D6C4F6BB7A_13</vt:lpwstr>
  </property>
  <property fmtid="{D5CDD505-2E9C-101B-9397-08002B2CF9AE}" pid="4" name="CalculationRule">
    <vt:i4>0</vt:i4>
  </property>
</Properties>
</file>